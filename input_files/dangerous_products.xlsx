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fcf9ad746f2b86b/מסמכים/dormeco-sorting-script/input_files/"/>
    </mc:Choice>
  </mc:AlternateContent>
  <xr:revisionPtr revIDLastSave="0" documentId="13_ncr:1_{0055A0EC-7E4E-4F5A-AEF3-BCD8223AB2E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ספירות מלאי של דורמקו 2025" sheetId="1" r:id="rId1"/>
    <sheet name="גיליון1" sheetId="3" r:id="rId2"/>
    <sheet name="מחסן" sheetId="2" r:id="rId3"/>
  </sheets>
  <definedNames>
    <definedName name="_xlnm._FilterDatabase" localSheetId="0" hidden="1">'ספירות מלאי של דורמקו 2025'!$A$1:$C$37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" l="1"/>
  <c r="A5" i="3"/>
  <c r="A33" i="1"/>
  <c r="B33" i="1"/>
  <c r="A21" i="1"/>
  <c r="B21" i="1"/>
  <c r="A17" i="1"/>
  <c r="B17" i="1"/>
  <c r="A5" i="1"/>
  <c r="B5" i="1"/>
  <c r="A11" i="1"/>
  <c r="B11" i="1"/>
  <c r="B2" i="1"/>
  <c r="A22" i="1"/>
  <c r="B22" i="1"/>
  <c r="A35" i="1"/>
  <c r="B35" i="1"/>
  <c r="A37" i="1"/>
  <c r="B37" i="1"/>
  <c r="A29" i="1"/>
  <c r="B29" i="1"/>
  <c r="A31" i="1"/>
  <c r="B31" i="1"/>
  <c r="A4" i="1"/>
  <c r="B4" i="1"/>
  <c r="A6" i="1"/>
  <c r="B6" i="1"/>
  <c r="A8" i="1"/>
  <c r="B8" i="1"/>
  <c r="A9" i="1"/>
  <c r="B9" i="1"/>
  <c r="A7" i="1"/>
  <c r="B7" i="1"/>
  <c r="A24" i="1"/>
  <c r="B24" i="1"/>
  <c r="A10" i="1"/>
  <c r="B10" i="1"/>
  <c r="A12" i="1"/>
  <c r="B12" i="1"/>
  <c r="A32" i="1"/>
  <c r="B32" i="1"/>
  <c r="A23" i="1"/>
  <c r="B23" i="1"/>
  <c r="A13" i="1"/>
  <c r="B13" i="1"/>
  <c r="A16" i="1"/>
  <c r="B16" i="1"/>
  <c r="A14" i="1"/>
  <c r="B14" i="1"/>
  <c r="A15" i="1"/>
  <c r="B15" i="1"/>
  <c r="A25" i="1"/>
  <c r="B25" i="1"/>
  <c r="A34" i="1"/>
  <c r="B34" i="1"/>
  <c r="A26" i="1"/>
  <c r="B26" i="1"/>
  <c r="A19" i="1"/>
  <c r="B19" i="1"/>
  <c r="A18" i="1"/>
  <c r="B18" i="1"/>
  <c r="A27" i="1"/>
  <c r="B27" i="1"/>
  <c r="A28" i="1"/>
  <c r="B28" i="1"/>
  <c r="A30" i="1"/>
  <c r="B30" i="1"/>
  <c r="A20" i="1"/>
  <c r="B20" i="1"/>
  <c r="A36" i="1"/>
  <c r="B36" i="1"/>
  <c r="A3" i="1"/>
  <c r="B3" i="1"/>
</calcChain>
</file>

<file path=xl/sharedStrings.xml><?xml version="1.0" encoding="utf-8"?>
<sst xmlns="http://schemas.openxmlformats.org/spreadsheetml/2006/main" count="232" uniqueCount="73">
  <si>
    <t>מטען</t>
  </si>
  <si>
    <t>פריט</t>
  </si>
  <si>
    <t>תיאור פריט</t>
  </si>
  <si>
    <t>מיקום</t>
  </si>
  <si>
    <t>יתרת מחסן</t>
  </si>
  <si>
    <t>אצווה</t>
  </si>
  <si>
    <t>1000222789</t>
  </si>
  <si>
    <t>SEMSMK6001</t>
  </si>
  <si>
    <t>SMK-6001 - SEMKYD FA50 W70 - ALKYD RESIN</t>
  </si>
  <si>
    <t>MD0202</t>
  </si>
  <si>
    <t>241004.1</t>
  </si>
  <si>
    <t>1000222791</t>
  </si>
  <si>
    <t>MD0302</t>
  </si>
  <si>
    <t>1000222792</t>
  </si>
  <si>
    <t>1000222793</t>
  </si>
  <si>
    <t>1000222794</t>
  </si>
  <si>
    <t>1000222795</t>
  </si>
  <si>
    <t>MD1502</t>
  </si>
  <si>
    <t>1000222796</t>
  </si>
  <si>
    <t>1000222797</t>
  </si>
  <si>
    <t>MD0903</t>
  </si>
  <si>
    <t>1000222798</t>
  </si>
  <si>
    <t>MD0902</t>
  </si>
  <si>
    <t>1000222799</t>
  </si>
  <si>
    <t>MD0501</t>
  </si>
  <si>
    <t>1000222810</t>
  </si>
  <si>
    <t>MD2003</t>
  </si>
  <si>
    <t>1000412211</t>
  </si>
  <si>
    <t>MD1501</t>
  </si>
  <si>
    <t>250528-9</t>
  </si>
  <si>
    <t>1000412212</t>
  </si>
  <si>
    <t>1000412213</t>
  </si>
  <si>
    <t>1000412214</t>
  </si>
  <si>
    <t>1000412215</t>
  </si>
  <si>
    <t>MD2102</t>
  </si>
  <si>
    <t>1000412221</t>
  </si>
  <si>
    <t>1000412222</t>
  </si>
  <si>
    <t>1000412233</t>
  </si>
  <si>
    <t>250530-10</t>
  </si>
  <si>
    <t>1000412234</t>
  </si>
  <si>
    <t>1000412235</t>
  </si>
  <si>
    <t>1000412236</t>
  </si>
  <si>
    <t>MD0102</t>
  </si>
  <si>
    <t>1000412237</t>
  </si>
  <si>
    <t>1000412238</t>
  </si>
  <si>
    <t>1000412239</t>
  </si>
  <si>
    <t>MD0402</t>
  </si>
  <si>
    <t>1000412240</t>
  </si>
  <si>
    <t>1000412241</t>
  </si>
  <si>
    <t>1000412242</t>
  </si>
  <si>
    <t>1000412243</t>
  </si>
  <si>
    <t>1000523411</t>
  </si>
  <si>
    <t>KECGLUT50220F</t>
  </si>
  <si>
    <t>Glutaraldehyde 50% (220kg drums)F</t>
  </si>
  <si>
    <t>rl20</t>
  </si>
  <si>
    <t>2025042407</t>
  </si>
  <si>
    <t>1000539816</t>
  </si>
  <si>
    <t>KECCMIT0151000</t>
  </si>
  <si>
    <t>CMIT/MIT 1.5%</t>
  </si>
  <si>
    <t>2025083007</t>
  </si>
  <si>
    <t>1000539817</t>
  </si>
  <si>
    <t>1000539818</t>
  </si>
  <si>
    <t>1000539819</t>
  </si>
  <si>
    <t>1000539820</t>
  </si>
  <si>
    <t>1000539821</t>
  </si>
  <si>
    <t>1224759</t>
  </si>
  <si>
    <t>UNIV5005G</t>
  </si>
  <si>
    <t>פורמלין 37% (קנקנים)</t>
  </si>
  <si>
    <t>RL20</t>
  </si>
  <si>
    <t>NL20416277</t>
  </si>
  <si>
    <t>אצווה פיזית</t>
  </si>
  <si>
    <t>כמות פיזית</t>
  </si>
  <si>
    <t xml:space="preserve">לא קיים פיזית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</si>
</sst>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177"/>
      <scheme val="minor"/>
    </font>
    <font>
      <sz val="11"/>
      <color theme="1"/>
      <name val="Aptos Narrow"/>
      <family val="2"/>
      <charset val="177"/>
      <scheme val="minor"/>
    </font>
    <font>
      <sz val="18"/>
      <color theme="3"/>
      <name val="Aptos Display"/>
      <family val="2"/>
      <charset val="177"/>
      <scheme val="major"/>
    </font>
    <font>
      <b/>
      <sz val="15"/>
      <color theme="3"/>
      <name val="Aptos Narrow"/>
      <family val="2"/>
      <charset val="177"/>
      <scheme val="minor"/>
    </font>
    <font>
      <b/>
      <sz val="13"/>
      <color theme="3"/>
      <name val="Aptos Narrow"/>
      <family val="2"/>
      <charset val="177"/>
      <scheme val="minor"/>
    </font>
    <font>
      <b/>
      <sz val="11"/>
      <color theme="3"/>
      <name val="Aptos Narrow"/>
      <family val="2"/>
      <charset val="177"/>
      <scheme val="minor"/>
    </font>
    <font>
      <sz val="11"/>
      <color rgb="FF006100"/>
      <name val="Aptos Narrow"/>
      <family val="2"/>
      <charset val="177"/>
      <scheme val="minor"/>
    </font>
    <font>
      <sz val="11"/>
      <color rgb="FF9C0006"/>
      <name val="Aptos Narrow"/>
      <family val="2"/>
      <charset val="177"/>
      <scheme val="minor"/>
    </font>
    <font>
      <sz val="11"/>
      <color rgb="FF9C5700"/>
      <name val="Aptos Narrow"/>
      <family val="2"/>
      <charset val="177"/>
      <scheme val="minor"/>
    </font>
    <font>
      <sz val="11"/>
      <color rgb="FF3F3F76"/>
      <name val="Aptos Narrow"/>
      <family val="2"/>
      <charset val="177"/>
      <scheme val="minor"/>
    </font>
    <font>
      <b/>
      <sz val="11"/>
      <color rgb="FF3F3F3F"/>
      <name val="Aptos Narrow"/>
      <family val="2"/>
      <charset val="177"/>
      <scheme val="minor"/>
    </font>
    <font>
      <b/>
      <sz val="11"/>
      <color rgb="FFFA7D00"/>
      <name val="Aptos Narrow"/>
      <family val="2"/>
      <charset val="177"/>
      <scheme val="minor"/>
    </font>
    <font>
      <sz val="11"/>
      <color rgb="FFFA7D00"/>
      <name val="Aptos Narrow"/>
      <family val="2"/>
      <charset val="177"/>
      <scheme val="minor"/>
    </font>
    <font>
      <b/>
      <sz val="11"/>
      <color theme="0"/>
      <name val="Aptos Narrow"/>
      <family val="2"/>
      <charset val="177"/>
      <scheme val="minor"/>
    </font>
    <font>
      <sz val="11"/>
      <color rgb="FFFF0000"/>
      <name val="Aptos Narrow"/>
      <family val="2"/>
      <charset val="177"/>
      <scheme val="minor"/>
    </font>
    <font>
      <i/>
      <sz val="11"/>
      <color rgb="FF7F7F7F"/>
      <name val="Aptos Narrow"/>
      <family val="2"/>
      <charset val="177"/>
      <scheme val="minor"/>
    </font>
    <font>
      <b/>
      <sz val="11"/>
      <color theme="1"/>
      <name val="Aptos Narrow"/>
      <family val="2"/>
      <charset val="177"/>
      <scheme val="minor"/>
    </font>
    <font>
      <sz val="11"/>
      <color theme="0"/>
      <name val="Aptos Narrow"/>
      <family val="2"/>
      <charset val="177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10" xfId="0" applyBorder="1"/>
    <xf numFmtId="0" fontId="0" fillId="33" borderId="10" xfId="0" applyFill="1" applyBorder="1"/>
    <xf numFmtId="0" fontId="0" fillId="34" borderId="10" xfId="0" applyFill="1" applyBorder="1"/>
    <xf numFmtId="0" fontId="0" fillId="0" borderId="10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0" xfId="0" applyBorder="1" applyAlignment="1">
      <alignment horizontal="center"/>
    </xf>
  </cellXfs>
  <cellStyles count="42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7"/>
  <sheetViews>
    <sheetView rightToLeft="1" tabSelected="1" workbookViewId="0">
      <selection activeCell="A2" sqref="A2"/>
    </sheetView>
  </sheetViews>
  <sheetFormatPr defaultColWidth="8.625" defaultRowHeight="14.25" x14ac:dyDescent="0.2"/>
  <cols>
    <col min="1" max="1" width="17.625" style="6" bestFit="1" customWidth="1"/>
    <col min="2" max="2" width="42.875" style="6" bestFit="1" customWidth="1"/>
    <col min="3" max="3" width="15" bestFit="1" customWidth="1"/>
    <col min="4" max="4" width="11.125" bestFit="1" customWidth="1"/>
    <col min="5" max="5" width="27.5" bestFit="1" customWidth="1"/>
    <col min="6" max="6" width="15.25" bestFit="1" customWidth="1"/>
    <col min="7" max="16384" width="8.625" style="5"/>
  </cols>
  <sheetData>
    <row r="1" spans="1:2" x14ac:dyDescent="0.2">
      <c r="A1" s="6" t="s">
        <v>1</v>
      </c>
      <c r="B1" s="6" t="s">
        <v>2</v>
      </c>
    </row>
    <row r="2" spans="1:2" x14ac:dyDescent="0.2">
      <c r="A2" s="6" t="str">
        <f>"BPSA4001"</f>
        <v>BPSA4001</v>
      </c>
      <c r="B2" s="6" t="str">
        <f>"חומצה אצטית (99.85%)"</f>
        <v>חומצה אצטית (99.85%)</v>
      </c>
    </row>
    <row r="3" spans="1:2" x14ac:dyDescent="0.2">
      <c r="A3" s="6" t="str">
        <f>"CCPAGE000"</f>
        <v>CCPAGE000</v>
      </c>
      <c r="B3" s="6" t="str">
        <f>"Reactive diluent AGE"</f>
        <v>Reactive diluent AGE</v>
      </c>
    </row>
    <row r="4" spans="1:2" x14ac:dyDescent="0.2">
      <c r="A4" s="6" t="str">
        <f t="shared" ref="A4" si="0">"CCPBE11400"</f>
        <v>CCPBE11400</v>
      </c>
      <c r="B4" s="6" t="str">
        <f t="shared" ref="B4" si="1">"Epoxy Resin BE-114"</f>
        <v>Epoxy Resin BE-114</v>
      </c>
    </row>
    <row r="5" spans="1:2" customFormat="1" x14ac:dyDescent="0.2">
      <c r="A5" s="6" t="str">
        <f t="shared" ref="A5" si="2">"SEMSMK6001"</f>
        <v>SEMSMK6001</v>
      </c>
      <c r="B5" s="6" t="str">
        <f t="shared" ref="B5" si="3">"SMK-6001 - SEMKYD FA50 W70 - ALKYD RESIN"</f>
        <v>SMK-6001 - SEMKYD FA50 W70 - ALKYD RESIN</v>
      </c>
    </row>
    <row r="6" spans="1:2" x14ac:dyDescent="0.2">
      <c r="A6" s="6" t="str">
        <f>"CCPBE11400"</f>
        <v>CCPBE11400</v>
      </c>
      <c r="B6" s="6" t="str">
        <f>"Epoxy Resin BE-114"</f>
        <v>Epoxy Resin BE-114</v>
      </c>
    </row>
    <row r="7" spans="1:2" x14ac:dyDescent="0.2">
      <c r="A7" s="6" t="str">
        <f>"FUJNH4F40IBC"</f>
        <v>FUJNH4F40IBC</v>
      </c>
      <c r="B7" s="6" t="str">
        <f>"Ammonium Fluoride (NH4F) 40% (IBCs)"</f>
        <v>Ammonium Fluoride (NH4F) 40% (IBCs)</v>
      </c>
    </row>
    <row r="8" spans="1:2" x14ac:dyDescent="0.2">
      <c r="A8" s="6" t="str">
        <f t="shared" ref="A8" si="4">"KECCMIT0151000"</f>
        <v>KECCMIT0151000</v>
      </c>
      <c r="B8" s="6" t="str">
        <f t="shared" ref="B8" si="5">"CMIT/MIT 1.5%"</f>
        <v>CMIT/MIT 1.5%</v>
      </c>
    </row>
    <row r="9" spans="1:2" customFormat="1" x14ac:dyDescent="0.2">
      <c r="A9" s="6" t="str">
        <f t="shared" ref="A9" si="6">"SEMSMK6001"</f>
        <v>SEMSMK6001</v>
      </c>
      <c r="B9" s="6" t="str">
        <f t="shared" ref="B9" si="7">"SMK-6001 - SEMKYD FA50 W70 - ALKYD RESIN"</f>
        <v>SMK-6001 - SEMKYD FA50 W70 - ALKYD RESIN</v>
      </c>
    </row>
    <row r="10" spans="1:2" x14ac:dyDescent="0.2">
      <c r="A10" s="6" t="str">
        <f>"KECCMIT0151000"</f>
        <v>KECCMIT0151000</v>
      </c>
      <c r="B10" s="6" t="str">
        <f>"CMIT/MIT 1.5%"</f>
        <v>CMIT/MIT 1.5%</v>
      </c>
    </row>
    <row r="11" spans="1:2" x14ac:dyDescent="0.2">
      <c r="A11" s="6" t="str">
        <f>"KECCMIT1425"</f>
        <v>KECCMIT1425</v>
      </c>
      <c r="B11" s="6" t="str">
        <f>"CMIT/MIT 14% (25 kg can)"</f>
        <v>CMIT/MIT 14% (25 kg can)</v>
      </c>
    </row>
    <row r="12" spans="1:2" x14ac:dyDescent="0.2">
      <c r="A12" s="6" t="str">
        <f t="shared" ref="A12" si="8">"KECCMIT15200"</f>
        <v>KECCMIT15200</v>
      </c>
      <c r="B12" s="6" t="str">
        <f t="shared" ref="B12" si="9">"CMIT/MIT 1.5% (Drums)"</f>
        <v>CMIT/MIT 1.5% (Drums)</v>
      </c>
    </row>
    <row r="13" spans="1:2" x14ac:dyDescent="0.2">
      <c r="A13" s="6" t="str">
        <f t="shared" ref="A13" si="10">"KECCTAC30200"</f>
        <v>KECCTAC30200</v>
      </c>
      <c r="B13" s="6" t="str">
        <f t="shared" ref="B13" si="11">"Cetrimonium Chloride 30% (200kg drum)"</f>
        <v>Cetrimonium Chloride 30% (200kg drum)</v>
      </c>
    </row>
    <row r="14" spans="1:2" x14ac:dyDescent="0.2">
      <c r="A14" s="6" t="str">
        <f t="shared" ref="A14" si="12">"OCIH2O2351100"</f>
        <v>OCIH2O2351100</v>
      </c>
      <c r="B14" s="6" t="str">
        <f t="shared" ref="B14" si="13">"מי חמצן 35% (קוביות 1100 ק""ג) OCI"</f>
        <v>מי חמצן 35% (קוביות 1100 ק"ג) OCI</v>
      </c>
    </row>
    <row r="15" spans="1:2" x14ac:dyDescent="0.2">
      <c r="A15" s="6" t="str">
        <f>"OCIH2O235FG1100"</f>
        <v>OCIH2O235FG1100</v>
      </c>
      <c r="B15" s="6" t="str">
        <f>"מי חמצן 35% FG (קוביות 1100 ק""ג) OCI"</f>
        <v>מי חמצן 35% FG (קוביות 1100 ק"ג) OCI</v>
      </c>
    </row>
    <row r="16" spans="1:2" x14ac:dyDescent="0.2">
      <c r="A16" s="6" t="str">
        <f t="shared" ref="A16" si="14">"OCIH2O2501150"</f>
        <v>OCIH2O2501150</v>
      </c>
      <c r="B16" s="6" t="str">
        <f t="shared" ref="B16" si="15">"מי חמצן 50% (קוביות 1150 ק""ג) OCI"</f>
        <v>מי חמצן 50% (קוביות 1150 ק"ג) OCI</v>
      </c>
    </row>
    <row r="17" spans="1:2" x14ac:dyDescent="0.2">
      <c r="A17" s="6" t="str">
        <f>"PCCRKNGT5950"</f>
        <v>PCCRKNGT5950</v>
      </c>
      <c r="B17" s="6" t="str">
        <f>"Rokanol GT5 (950 kg IBC)"</f>
        <v>Rokanol GT5 (950 kg IBC)</v>
      </c>
    </row>
    <row r="18" spans="1:2" x14ac:dyDescent="0.2">
      <c r="A18" s="6" t="str">
        <f>"POIEPA1234"</f>
        <v>POIEPA1234</v>
      </c>
      <c r="B18" s="6" t="str">
        <f>"EPAMIDE 1234"</f>
        <v>EPAMIDE 1234</v>
      </c>
    </row>
    <row r="19" spans="1:2" x14ac:dyDescent="0.2">
      <c r="A19" s="6" t="str">
        <f>"POIEPA1356"</f>
        <v>POIEPA1356</v>
      </c>
      <c r="B19" s="6" t="str">
        <f>"EPAMINE PC 1356"</f>
        <v>EPAMINE PC 1356</v>
      </c>
    </row>
    <row r="20" spans="1:2" x14ac:dyDescent="0.2">
      <c r="A20" s="6" t="str">
        <f>"POIEPA1534"</f>
        <v>POIEPA1534</v>
      </c>
      <c r="B20" s="6" t="str">
        <f>"EPAMINE PC1534"</f>
        <v>EPAMINE PC1534</v>
      </c>
    </row>
    <row r="21" spans="1:2" x14ac:dyDescent="0.2">
      <c r="A21" s="6" t="str">
        <f t="shared" ref="A21" si="16">"POIPC11000"</f>
        <v>POIPC11000</v>
      </c>
      <c r="B21" s="6" t="str">
        <f t="shared" ref="B21" si="17">"EPAMINE PC11"</f>
        <v>EPAMINE PC11</v>
      </c>
    </row>
    <row r="22" spans="1:2" x14ac:dyDescent="0.2">
      <c r="A22" s="6" t="str">
        <f>"ROTFORIBC"</f>
        <v>ROTFORIBC</v>
      </c>
      <c r="B22" s="6" t="str">
        <f>"פורמלין 35-39% (קוביות 1080 ק""ג)"</f>
        <v>פורמלין 35-39% (קוביות 1080 ק"ג)</v>
      </c>
    </row>
    <row r="23" spans="1:2" x14ac:dyDescent="0.2">
      <c r="A23" s="6" t="str">
        <f>"SEMSMK6001"</f>
        <v>SEMSMK6001</v>
      </c>
      <c r="B23" s="6" t="str">
        <f>"SMK-6001 - SEMKYD FA50 W70 - ALKYD RESIN"</f>
        <v>SMK-6001 - SEMKYD FA50 W70 - ALKYD RESIN</v>
      </c>
    </row>
    <row r="24" spans="1:2" x14ac:dyDescent="0.2">
      <c r="A24" s="6" t="str">
        <f t="shared" ref="A24" si="18">"SQM100125"</f>
        <v>SQM100125</v>
      </c>
      <c r="B24" s="6" t="str">
        <f t="shared" ref="B24" si="19">"25 ק""ג סודיום ניטרט 98%  SSI"</f>
        <v>25 ק"ג סודיום ניטרט 98%  SSI</v>
      </c>
    </row>
    <row r="25" spans="1:2" x14ac:dyDescent="0.2">
      <c r="A25" s="6" t="str">
        <f t="shared" ref="A25" si="20">"UNIV5005"</f>
        <v>UNIV5005</v>
      </c>
      <c r="B25" s="6" t="str">
        <f t="shared" ref="B25" si="21">"פורמלין 37%"</f>
        <v>פורמלין 37%</v>
      </c>
    </row>
    <row r="26" spans="1:2" customFormat="1" x14ac:dyDescent="0.2">
      <c r="A26" s="6" t="str">
        <f>"KECGLUT50220F"</f>
        <v>KECGLUT50220F</v>
      </c>
      <c r="B26" s="6" t="str">
        <f>"Glutaraldehyde 50% (220kg drums)F"</f>
        <v>Glutaraldehyde 50% (220kg drums)F</v>
      </c>
    </row>
    <row r="27" spans="1:2" x14ac:dyDescent="0.2">
      <c r="A27" s="6" t="str">
        <f t="shared" ref="A27" si="22">"UNIV5005"</f>
        <v>UNIV5005</v>
      </c>
      <c r="B27" s="6" t="str">
        <f t="shared" ref="B27" si="23">"פורמלין 37%"</f>
        <v>פורמלין 37%</v>
      </c>
    </row>
    <row r="28" spans="1:2" customFormat="1" x14ac:dyDescent="0.2">
      <c r="A28" s="6" t="str">
        <f t="shared" ref="A28" si="24">"KECCMIT0151000"</f>
        <v>KECCMIT0151000</v>
      </c>
      <c r="B28" s="6" t="str">
        <f t="shared" ref="B28" si="25">"CMIT/MIT 1.5%"</f>
        <v>CMIT/MIT 1.5%</v>
      </c>
    </row>
    <row r="29" spans="1:2" x14ac:dyDescent="0.2">
      <c r="A29" s="6" t="str">
        <f t="shared" ref="A29" si="26">"UNIVH20235TECH"</f>
        <v>UNIVH20235TECH</v>
      </c>
      <c r="B29" s="6" t="str">
        <f t="shared" ref="B29" si="27">"H2O2 35% (Hydrogen Peroxide 35%) - 22 kg Cans"</f>
        <v>H2O2 35% (Hydrogen Peroxide 35%) - 22 kg Cans</v>
      </c>
    </row>
    <row r="30" spans="1:2" x14ac:dyDescent="0.2">
      <c r="A30" s="6" t="str">
        <f>"UNIVHCLTE30"</f>
        <v>UNIVHCLTE30</v>
      </c>
      <c r="B30" s="6" t="str">
        <f>"HCL 30% Tech Grade"</f>
        <v>HCL 30% Tech Grade</v>
      </c>
    </row>
    <row r="31" spans="1:2" x14ac:dyDescent="0.2">
      <c r="A31" s="6" t="str">
        <f>"UNIVNIACC"</f>
        <v>UNIVNIACC</v>
      </c>
      <c r="B31" s="6" t="str">
        <f>"חומצה חנקתית 68% (ג'ריקנים) UNIV"</f>
        <v>חומצה חנקתית 68% (ג'ריקנים) UNIV</v>
      </c>
    </row>
    <row r="32" spans="1:2" x14ac:dyDescent="0.2">
      <c r="A32" s="6" t="str">
        <f t="shared" ref="A32" si="28">"UNIVNIACD"</f>
        <v>UNIVNIACD</v>
      </c>
      <c r="B32" s="6" t="str">
        <f t="shared" ref="B32" si="29">"חומצה חנקתית 68% (חביות)"</f>
        <v>חומצה חנקתית 68% (חביות)</v>
      </c>
    </row>
    <row r="33" spans="1:2" x14ac:dyDescent="0.2">
      <c r="A33" s="6" t="str">
        <f>"UNIVPHOSA85DR"</f>
        <v>UNIVPHOSA85DR</v>
      </c>
      <c r="B33" s="6" t="str">
        <f>"Phosphoric Acid 85% (280 kg drums)"</f>
        <v>Phosphoric Acid 85% (280 kg drums)</v>
      </c>
    </row>
    <row r="34" spans="1:2" x14ac:dyDescent="0.2">
      <c r="A34" s="6" t="str">
        <f>"UNIVPOHYDTEDR"</f>
        <v>UNIVPOHYDTEDR</v>
      </c>
      <c r="B34" s="6" t="str">
        <f>"Potassium Hydroxide Liquid 50% (300 kg drums)"</f>
        <v>Potassium Hydroxide Liquid 50% (300 kg drums)</v>
      </c>
    </row>
    <row r="35" spans="1:2" x14ac:dyDescent="0.2">
      <c r="A35" s="6" t="str">
        <f>"VTRAAFG0030"</f>
        <v>VTRAAFG0030</v>
      </c>
      <c r="B35" s="6" t="str">
        <f>"חומצה אצטית VTAR"</f>
        <v>חומצה אצטית VTAR</v>
      </c>
    </row>
    <row r="36" spans="1:2" customFormat="1" x14ac:dyDescent="0.2">
      <c r="A36" s="6" t="str">
        <f>"UNIV5005G"</f>
        <v>UNIV5005G</v>
      </c>
      <c r="B36" s="6" t="str">
        <f>"פורמלין 37% (קנקנים)"</f>
        <v>פורמלין 37% (קנקנים)</v>
      </c>
    </row>
    <row r="37" spans="1:2" x14ac:dyDescent="0.2">
      <c r="A37" s="6" t="str">
        <f>"VTRAAFG0030"</f>
        <v>VTRAAFG0030</v>
      </c>
      <c r="B37" s="6" t="str">
        <f>"חומצה אצטית VTAR"</f>
        <v>חומצה אצטית VTAR</v>
      </c>
    </row>
  </sheetData>
  <autoFilter ref="A1:C37" xr:uid="{00000000-0009-0000-0000-000000000000}"/>
  <sortState xmlns:xlrd2="http://schemas.microsoft.com/office/spreadsheetml/2017/richdata2" ref="A2:E37">
    <sortCondition ref="A2:A37"/>
  </sortState>
  <pageMargins left="0.7" right="0.7" top="0.75" bottom="0.75" header="0.3" footer="0.3"/>
  <pageSetup paperSize="9" orientation="landscape" horizontalDpi="4294967294" verticalDpi="429496729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9BECB-4E2E-4AE1-894B-B277FCEA7047}">
  <dimension ref="A5"/>
  <sheetViews>
    <sheetView rightToLeft="1" workbookViewId="0">
      <selection activeCell="A5" sqref="A5"/>
    </sheetView>
  </sheetViews>
  <sheetFormatPr defaultRowHeight="14.25" x14ac:dyDescent="0.2"/>
  <cols>
    <col min="1" max="1" width="18.75" bestFit="1" customWidth="1"/>
  </cols>
  <sheetData>
    <row r="5" spans="1:1" x14ac:dyDescent="0.2">
      <c r="A5" s="4" t="str">
        <f>"חומצה אצטית (99.85%)"</f>
        <v>חומצה אצטית (99.85%)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8"/>
  <sheetViews>
    <sheetView rightToLeft="1" workbookViewId="0">
      <selection activeCell="F38" sqref="F38"/>
    </sheetView>
  </sheetViews>
  <sheetFormatPr defaultRowHeight="14.25" x14ac:dyDescent="0.2"/>
  <cols>
    <col min="1" max="1" width="10.875" bestFit="1" customWidth="1"/>
    <col min="2" max="2" width="16.125" bestFit="1" customWidth="1"/>
    <col min="3" max="3" width="42.25" bestFit="1" customWidth="1"/>
    <col min="4" max="4" width="7.625" bestFit="1" customWidth="1"/>
    <col min="6" max="6" width="11.125" bestFit="1" customWidth="1"/>
    <col min="7" max="8" width="10.875" bestFit="1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70</v>
      </c>
      <c r="H1" s="1" t="s">
        <v>71</v>
      </c>
    </row>
    <row r="2" spans="1:8" x14ac:dyDescent="0.2">
      <c r="A2" s="1" t="s">
        <v>56</v>
      </c>
      <c r="B2" s="1" t="s">
        <v>57</v>
      </c>
      <c r="C2" s="1" t="s">
        <v>58</v>
      </c>
      <c r="D2" s="1" t="s">
        <v>54</v>
      </c>
      <c r="E2" s="1">
        <v>1</v>
      </c>
      <c r="F2" s="1" t="s">
        <v>59</v>
      </c>
      <c r="G2" s="2" t="s">
        <v>59</v>
      </c>
      <c r="H2" s="2">
        <v>1</v>
      </c>
    </row>
    <row r="3" spans="1:8" x14ac:dyDescent="0.2">
      <c r="A3" s="1" t="s">
        <v>60</v>
      </c>
      <c r="B3" s="1" t="s">
        <v>57</v>
      </c>
      <c r="C3" s="1" t="s">
        <v>58</v>
      </c>
      <c r="D3" s="1" t="s">
        <v>54</v>
      </c>
      <c r="E3" s="1">
        <v>1</v>
      </c>
      <c r="F3" s="1" t="s">
        <v>59</v>
      </c>
      <c r="G3" s="2" t="s">
        <v>59</v>
      </c>
      <c r="H3" s="2">
        <v>1</v>
      </c>
    </row>
    <row r="4" spans="1:8" x14ac:dyDescent="0.2">
      <c r="A4" s="1" t="s">
        <v>61</v>
      </c>
      <c r="B4" s="1" t="s">
        <v>57</v>
      </c>
      <c r="C4" s="1" t="s">
        <v>58</v>
      </c>
      <c r="D4" s="1" t="s">
        <v>54</v>
      </c>
      <c r="E4" s="1">
        <v>1</v>
      </c>
      <c r="F4" s="1" t="s">
        <v>59</v>
      </c>
      <c r="G4" s="2" t="s">
        <v>59</v>
      </c>
      <c r="H4" s="2">
        <v>1</v>
      </c>
    </row>
    <row r="5" spans="1:8" x14ac:dyDescent="0.2">
      <c r="A5" s="1" t="s">
        <v>62</v>
      </c>
      <c r="B5" s="1" t="s">
        <v>57</v>
      </c>
      <c r="C5" s="1" t="s">
        <v>58</v>
      </c>
      <c r="D5" s="1" t="s">
        <v>54</v>
      </c>
      <c r="E5" s="1">
        <v>1</v>
      </c>
      <c r="F5" s="1" t="s">
        <v>59</v>
      </c>
      <c r="G5" s="2" t="s">
        <v>59</v>
      </c>
      <c r="H5" s="2">
        <v>1</v>
      </c>
    </row>
    <row r="6" spans="1:8" x14ac:dyDescent="0.2">
      <c r="A6" s="1" t="s">
        <v>63</v>
      </c>
      <c r="B6" s="1" t="s">
        <v>57</v>
      </c>
      <c r="C6" s="1" t="s">
        <v>58</v>
      </c>
      <c r="D6" s="1" t="s">
        <v>54</v>
      </c>
      <c r="E6" s="1">
        <v>1</v>
      </c>
      <c r="F6" s="1" t="s">
        <v>59</v>
      </c>
      <c r="G6" s="2" t="s">
        <v>59</v>
      </c>
      <c r="H6" s="2">
        <v>1</v>
      </c>
    </row>
    <row r="7" spans="1:8" x14ac:dyDescent="0.2">
      <c r="A7" s="1" t="s">
        <v>64</v>
      </c>
      <c r="B7" s="1" t="s">
        <v>57</v>
      </c>
      <c r="C7" s="1" t="s">
        <v>58</v>
      </c>
      <c r="D7" s="1" t="s">
        <v>54</v>
      </c>
      <c r="E7" s="1">
        <v>1</v>
      </c>
      <c r="F7" s="1" t="s">
        <v>59</v>
      </c>
      <c r="G7" s="2" t="s">
        <v>59</v>
      </c>
      <c r="H7" s="2">
        <v>1</v>
      </c>
    </row>
    <row r="8" spans="1:8" x14ac:dyDescent="0.2">
      <c r="A8" s="1" t="s">
        <v>51</v>
      </c>
      <c r="B8" s="1" t="s">
        <v>52</v>
      </c>
      <c r="C8" s="1" t="s">
        <v>53</v>
      </c>
      <c r="D8" s="1" t="s">
        <v>54</v>
      </c>
      <c r="E8" s="1">
        <v>1</v>
      </c>
      <c r="F8" s="1" t="s">
        <v>55</v>
      </c>
      <c r="G8" s="2" t="s">
        <v>55</v>
      </c>
      <c r="H8" s="2">
        <v>1</v>
      </c>
    </row>
    <row r="9" spans="1:8" x14ac:dyDescent="0.2">
      <c r="A9" s="1" t="s">
        <v>6</v>
      </c>
      <c r="B9" s="1" t="s">
        <v>7</v>
      </c>
      <c r="C9" s="1" t="s">
        <v>8</v>
      </c>
      <c r="D9" s="1" t="s">
        <v>9</v>
      </c>
      <c r="E9" s="1">
        <v>4</v>
      </c>
      <c r="F9" s="1" t="s">
        <v>10</v>
      </c>
      <c r="G9" s="2" t="s">
        <v>10</v>
      </c>
      <c r="H9" s="2">
        <v>4</v>
      </c>
    </row>
    <row r="10" spans="1:8" x14ac:dyDescent="0.2">
      <c r="A10" s="1" t="s">
        <v>11</v>
      </c>
      <c r="B10" s="1" t="s">
        <v>7</v>
      </c>
      <c r="C10" s="1" t="s">
        <v>8</v>
      </c>
      <c r="D10" s="1" t="s">
        <v>12</v>
      </c>
      <c r="E10" s="1">
        <v>4</v>
      </c>
      <c r="F10" s="1" t="s">
        <v>10</v>
      </c>
      <c r="G10" s="2" t="s">
        <v>10</v>
      </c>
      <c r="H10" s="2">
        <v>4</v>
      </c>
    </row>
    <row r="11" spans="1:8" x14ac:dyDescent="0.2">
      <c r="A11" s="1" t="s">
        <v>13</v>
      </c>
      <c r="B11" s="1" t="s">
        <v>7</v>
      </c>
      <c r="C11" s="1" t="s">
        <v>8</v>
      </c>
      <c r="D11" s="1" t="s">
        <v>12</v>
      </c>
      <c r="E11" s="1">
        <v>4</v>
      </c>
      <c r="F11" s="1" t="s">
        <v>10</v>
      </c>
      <c r="G11" s="2" t="s">
        <v>10</v>
      </c>
      <c r="H11" s="2">
        <v>4</v>
      </c>
    </row>
    <row r="12" spans="1:8" x14ac:dyDescent="0.2">
      <c r="A12" s="1" t="s">
        <v>14</v>
      </c>
      <c r="B12" s="1" t="s">
        <v>7</v>
      </c>
      <c r="C12" s="1" t="s">
        <v>8</v>
      </c>
      <c r="D12" s="1" t="s">
        <v>9</v>
      </c>
      <c r="E12" s="1">
        <v>4</v>
      </c>
      <c r="F12" s="1" t="s">
        <v>10</v>
      </c>
      <c r="G12" s="2" t="s">
        <v>10</v>
      </c>
      <c r="H12" s="2">
        <v>4</v>
      </c>
    </row>
    <row r="13" spans="1:8" x14ac:dyDescent="0.2">
      <c r="A13" s="1" t="s">
        <v>15</v>
      </c>
      <c r="B13" s="1" t="s">
        <v>7</v>
      </c>
      <c r="C13" s="1" t="s">
        <v>8</v>
      </c>
      <c r="D13" s="1" t="s">
        <v>12</v>
      </c>
      <c r="E13" s="1">
        <v>4</v>
      </c>
      <c r="F13" s="1" t="s">
        <v>10</v>
      </c>
      <c r="G13" s="2" t="s">
        <v>10</v>
      </c>
      <c r="H13" s="2">
        <v>4</v>
      </c>
    </row>
    <row r="14" spans="1:8" x14ac:dyDescent="0.2">
      <c r="A14" s="1" t="s">
        <v>16</v>
      </c>
      <c r="B14" s="1" t="s">
        <v>7</v>
      </c>
      <c r="C14" s="1" t="s">
        <v>8</v>
      </c>
      <c r="D14" s="1" t="s">
        <v>17</v>
      </c>
      <c r="E14" s="1">
        <v>4</v>
      </c>
      <c r="F14" s="1" t="s">
        <v>10</v>
      </c>
      <c r="G14" s="2" t="s">
        <v>10</v>
      </c>
      <c r="H14" s="2">
        <v>4</v>
      </c>
    </row>
    <row r="15" spans="1:8" x14ac:dyDescent="0.2">
      <c r="A15" s="1" t="s">
        <v>18</v>
      </c>
      <c r="B15" s="1" t="s">
        <v>7</v>
      </c>
      <c r="C15" s="1" t="s">
        <v>8</v>
      </c>
      <c r="D15" s="1" t="s">
        <v>17</v>
      </c>
      <c r="E15" s="1">
        <v>4</v>
      </c>
      <c r="F15" s="1" t="s">
        <v>10</v>
      </c>
      <c r="G15" s="2" t="s">
        <v>10</v>
      </c>
      <c r="H15" s="2">
        <v>4</v>
      </c>
    </row>
    <row r="16" spans="1:8" x14ac:dyDescent="0.2">
      <c r="A16" s="1" t="s">
        <v>19</v>
      </c>
      <c r="B16" s="1" t="s">
        <v>7</v>
      </c>
      <c r="C16" s="1" t="s">
        <v>8</v>
      </c>
      <c r="D16" s="1" t="s">
        <v>20</v>
      </c>
      <c r="E16" s="1">
        <v>4</v>
      </c>
      <c r="F16" s="1" t="s">
        <v>10</v>
      </c>
      <c r="G16" s="2" t="s">
        <v>10</v>
      </c>
      <c r="H16" s="2">
        <v>4</v>
      </c>
    </row>
    <row r="17" spans="1:8" x14ac:dyDescent="0.2">
      <c r="A17" s="1" t="s">
        <v>21</v>
      </c>
      <c r="B17" s="1" t="s">
        <v>7</v>
      </c>
      <c r="C17" s="1" t="s">
        <v>8</v>
      </c>
      <c r="D17" s="1" t="s">
        <v>22</v>
      </c>
      <c r="E17" s="1">
        <v>4</v>
      </c>
      <c r="F17" s="1" t="s">
        <v>10</v>
      </c>
      <c r="G17" s="2" t="s">
        <v>10</v>
      </c>
      <c r="H17" s="2">
        <v>4</v>
      </c>
    </row>
    <row r="18" spans="1:8" x14ac:dyDescent="0.2">
      <c r="A18" s="1" t="s">
        <v>23</v>
      </c>
      <c r="B18" s="1" t="s">
        <v>7</v>
      </c>
      <c r="C18" s="1" t="s">
        <v>8</v>
      </c>
      <c r="D18" s="1" t="s">
        <v>24</v>
      </c>
      <c r="E18" s="1">
        <v>4</v>
      </c>
      <c r="F18" s="1" t="s">
        <v>10</v>
      </c>
      <c r="G18" s="2" t="s">
        <v>10</v>
      </c>
      <c r="H18" s="2">
        <v>4</v>
      </c>
    </row>
    <row r="19" spans="1:8" x14ac:dyDescent="0.2">
      <c r="A19" s="1" t="s">
        <v>25</v>
      </c>
      <c r="B19" s="1" t="s">
        <v>7</v>
      </c>
      <c r="C19" s="1" t="s">
        <v>8</v>
      </c>
      <c r="D19" s="1" t="s">
        <v>26</v>
      </c>
      <c r="E19" s="1">
        <v>2</v>
      </c>
      <c r="F19" s="1" t="s">
        <v>10</v>
      </c>
      <c r="G19" s="2" t="s">
        <v>10</v>
      </c>
      <c r="H19" s="2">
        <v>2</v>
      </c>
    </row>
    <row r="20" spans="1:8" x14ac:dyDescent="0.2">
      <c r="A20" s="1" t="s">
        <v>27</v>
      </c>
      <c r="B20" s="1" t="s">
        <v>7</v>
      </c>
      <c r="C20" s="1" t="s">
        <v>8</v>
      </c>
      <c r="D20" s="1" t="s">
        <v>28</v>
      </c>
      <c r="E20" s="1">
        <v>4</v>
      </c>
      <c r="F20" s="1" t="s">
        <v>29</v>
      </c>
      <c r="G20" s="2" t="s">
        <v>29</v>
      </c>
      <c r="H20" s="2">
        <v>4</v>
      </c>
    </row>
    <row r="21" spans="1:8" x14ac:dyDescent="0.2">
      <c r="A21" s="1" t="s">
        <v>30</v>
      </c>
      <c r="B21" s="1" t="s">
        <v>7</v>
      </c>
      <c r="C21" s="1" t="s">
        <v>8</v>
      </c>
      <c r="D21" s="1" t="s">
        <v>28</v>
      </c>
      <c r="E21" s="1">
        <v>4</v>
      </c>
      <c r="F21" s="1" t="s">
        <v>29</v>
      </c>
      <c r="G21" s="2" t="s">
        <v>29</v>
      </c>
      <c r="H21" s="2">
        <v>4</v>
      </c>
    </row>
    <row r="22" spans="1:8" x14ac:dyDescent="0.2">
      <c r="A22" s="1" t="s">
        <v>31</v>
      </c>
      <c r="B22" s="1" t="s">
        <v>7</v>
      </c>
      <c r="C22" s="1" t="s">
        <v>8</v>
      </c>
      <c r="D22" s="1" t="s">
        <v>28</v>
      </c>
      <c r="E22" s="1">
        <v>4</v>
      </c>
      <c r="F22" s="1" t="s">
        <v>29</v>
      </c>
      <c r="G22" s="2" t="s">
        <v>29</v>
      </c>
      <c r="H22" s="2">
        <v>4</v>
      </c>
    </row>
    <row r="23" spans="1:8" x14ac:dyDescent="0.2">
      <c r="A23" s="1" t="s">
        <v>32</v>
      </c>
      <c r="B23" s="1" t="s">
        <v>7</v>
      </c>
      <c r="C23" s="1" t="s">
        <v>8</v>
      </c>
      <c r="D23" s="1" t="s">
        <v>28</v>
      </c>
      <c r="E23" s="1">
        <v>4</v>
      </c>
      <c r="F23" s="1" t="s">
        <v>29</v>
      </c>
      <c r="G23" s="2" t="s">
        <v>29</v>
      </c>
      <c r="H23" s="2">
        <v>4</v>
      </c>
    </row>
    <row r="24" spans="1:8" x14ac:dyDescent="0.2">
      <c r="A24" s="1" t="s">
        <v>33</v>
      </c>
      <c r="B24" s="1" t="s">
        <v>7</v>
      </c>
      <c r="C24" s="1" t="s">
        <v>8</v>
      </c>
      <c r="D24" s="1" t="s">
        <v>34</v>
      </c>
      <c r="E24" s="1">
        <v>4</v>
      </c>
      <c r="F24" s="1" t="s">
        <v>29</v>
      </c>
      <c r="G24" s="2" t="s">
        <v>29</v>
      </c>
      <c r="H24" s="2">
        <v>4</v>
      </c>
    </row>
    <row r="25" spans="1:8" x14ac:dyDescent="0.2">
      <c r="A25" s="1" t="s">
        <v>35</v>
      </c>
      <c r="B25" s="1" t="s">
        <v>7</v>
      </c>
      <c r="C25" s="1" t="s">
        <v>8</v>
      </c>
      <c r="D25" s="1" t="s">
        <v>28</v>
      </c>
      <c r="E25" s="1">
        <v>4</v>
      </c>
      <c r="F25" s="1" t="s">
        <v>29</v>
      </c>
      <c r="G25" s="2" t="s">
        <v>29</v>
      </c>
      <c r="H25" s="2">
        <v>4</v>
      </c>
    </row>
    <row r="26" spans="1:8" x14ac:dyDescent="0.2">
      <c r="A26" s="1" t="s">
        <v>36</v>
      </c>
      <c r="B26" s="1" t="s">
        <v>7</v>
      </c>
      <c r="C26" s="1" t="s">
        <v>8</v>
      </c>
      <c r="D26" s="1" t="s">
        <v>28</v>
      </c>
      <c r="E26" s="1">
        <v>3</v>
      </c>
      <c r="F26" s="1" t="s">
        <v>29</v>
      </c>
      <c r="G26" s="2" t="s">
        <v>29</v>
      </c>
      <c r="H26" s="2">
        <v>3</v>
      </c>
    </row>
    <row r="27" spans="1:8" x14ac:dyDescent="0.2">
      <c r="A27" s="1" t="s">
        <v>37</v>
      </c>
      <c r="B27" s="1" t="s">
        <v>7</v>
      </c>
      <c r="C27" s="1" t="s">
        <v>8</v>
      </c>
      <c r="D27" s="1" t="s">
        <v>24</v>
      </c>
      <c r="E27" s="1">
        <v>3</v>
      </c>
      <c r="F27" s="1" t="s">
        <v>38</v>
      </c>
      <c r="G27" s="2" t="s">
        <v>38</v>
      </c>
      <c r="H27" s="2">
        <v>3</v>
      </c>
    </row>
    <row r="28" spans="1:8" x14ac:dyDescent="0.2">
      <c r="A28" s="1" t="s">
        <v>39</v>
      </c>
      <c r="B28" s="1" t="s">
        <v>7</v>
      </c>
      <c r="C28" s="1" t="s">
        <v>8</v>
      </c>
      <c r="D28" s="1" t="s">
        <v>34</v>
      </c>
      <c r="E28" s="1">
        <v>4</v>
      </c>
      <c r="F28" s="1" t="s">
        <v>38</v>
      </c>
      <c r="G28" s="2" t="s">
        <v>38</v>
      </c>
      <c r="H28" s="2">
        <v>4</v>
      </c>
    </row>
    <row r="29" spans="1:8" x14ac:dyDescent="0.2">
      <c r="A29" s="1" t="s">
        <v>40</v>
      </c>
      <c r="B29" s="1" t="s">
        <v>7</v>
      </c>
      <c r="C29" s="1" t="s">
        <v>8</v>
      </c>
      <c r="D29" s="1" t="s">
        <v>17</v>
      </c>
      <c r="E29" s="1">
        <v>4</v>
      </c>
      <c r="F29" s="1" t="s">
        <v>38</v>
      </c>
      <c r="G29" s="2" t="s">
        <v>38</v>
      </c>
      <c r="H29" s="2">
        <v>4</v>
      </c>
    </row>
    <row r="30" spans="1:8" x14ac:dyDescent="0.2">
      <c r="A30" s="1" t="s">
        <v>41</v>
      </c>
      <c r="B30" s="1" t="s">
        <v>7</v>
      </c>
      <c r="C30" s="1" t="s">
        <v>8</v>
      </c>
      <c r="D30" s="1" t="s">
        <v>42</v>
      </c>
      <c r="E30" s="1">
        <v>4</v>
      </c>
      <c r="F30" s="1" t="s">
        <v>38</v>
      </c>
      <c r="G30" s="2" t="s">
        <v>38</v>
      </c>
      <c r="H30" s="2">
        <v>4</v>
      </c>
    </row>
    <row r="31" spans="1:8" x14ac:dyDescent="0.2">
      <c r="A31" s="1" t="s">
        <v>43</v>
      </c>
      <c r="B31" s="1" t="s">
        <v>7</v>
      </c>
      <c r="C31" s="1" t="s">
        <v>8</v>
      </c>
      <c r="D31" s="1" t="s">
        <v>28</v>
      </c>
      <c r="E31" s="1">
        <v>4</v>
      </c>
      <c r="F31" s="1" t="s">
        <v>38</v>
      </c>
      <c r="G31" s="2" t="s">
        <v>38</v>
      </c>
      <c r="H31" s="2">
        <v>4</v>
      </c>
    </row>
    <row r="32" spans="1:8" x14ac:dyDescent="0.2">
      <c r="A32" s="1" t="s">
        <v>44</v>
      </c>
      <c r="B32" s="1" t="s">
        <v>7</v>
      </c>
      <c r="C32" s="1" t="s">
        <v>8</v>
      </c>
      <c r="D32" s="1" t="s">
        <v>28</v>
      </c>
      <c r="E32" s="1">
        <v>4</v>
      </c>
      <c r="F32" s="1" t="s">
        <v>38</v>
      </c>
      <c r="G32" s="2" t="s">
        <v>38</v>
      </c>
      <c r="H32" s="2">
        <v>4</v>
      </c>
    </row>
    <row r="33" spans="1:8" x14ac:dyDescent="0.2">
      <c r="A33" s="1" t="s">
        <v>45</v>
      </c>
      <c r="B33" s="1" t="s">
        <v>7</v>
      </c>
      <c r="C33" s="1" t="s">
        <v>8</v>
      </c>
      <c r="D33" s="1" t="s">
        <v>46</v>
      </c>
      <c r="E33" s="1">
        <v>4</v>
      </c>
      <c r="F33" s="1" t="s">
        <v>38</v>
      </c>
      <c r="G33" s="2" t="s">
        <v>38</v>
      </c>
      <c r="H33" s="2">
        <v>4</v>
      </c>
    </row>
    <row r="34" spans="1:8" x14ac:dyDescent="0.2">
      <c r="A34" s="1" t="s">
        <v>47</v>
      </c>
      <c r="B34" s="1" t="s">
        <v>7</v>
      </c>
      <c r="C34" s="1" t="s">
        <v>8</v>
      </c>
      <c r="D34" s="1" t="s">
        <v>34</v>
      </c>
      <c r="E34" s="1">
        <v>4</v>
      </c>
      <c r="F34" s="1" t="s">
        <v>38</v>
      </c>
      <c r="G34" s="2" t="s">
        <v>38</v>
      </c>
      <c r="H34" s="2">
        <v>4</v>
      </c>
    </row>
    <row r="35" spans="1:8" x14ac:dyDescent="0.2">
      <c r="A35" s="1" t="s">
        <v>48</v>
      </c>
      <c r="B35" s="1" t="s">
        <v>7</v>
      </c>
      <c r="C35" s="1" t="s">
        <v>8</v>
      </c>
      <c r="D35" s="1" t="s">
        <v>34</v>
      </c>
      <c r="E35" s="1">
        <v>4</v>
      </c>
      <c r="F35" s="1" t="s">
        <v>38</v>
      </c>
      <c r="G35" s="2" t="s">
        <v>38</v>
      </c>
      <c r="H35" s="2">
        <v>4</v>
      </c>
    </row>
    <row r="36" spans="1:8" x14ac:dyDescent="0.2">
      <c r="A36" s="1" t="s">
        <v>49</v>
      </c>
      <c r="B36" s="1" t="s">
        <v>7</v>
      </c>
      <c r="C36" s="1" t="s">
        <v>8</v>
      </c>
      <c r="D36" s="1" t="s">
        <v>28</v>
      </c>
      <c r="E36" s="1">
        <v>4</v>
      </c>
      <c r="F36" s="1" t="s">
        <v>38</v>
      </c>
      <c r="G36" s="2" t="s">
        <v>38</v>
      </c>
      <c r="H36" s="2">
        <v>4</v>
      </c>
    </row>
    <row r="37" spans="1:8" x14ac:dyDescent="0.2">
      <c r="A37" s="1" t="s">
        <v>50</v>
      </c>
      <c r="B37" s="1" t="s">
        <v>7</v>
      </c>
      <c r="C37" s="1" t="s">
        <v>8</v>
      </c>
      <c r="D37" s="1" t="s">
        <v>28</v>
      </c>
      <c r="E37" s="1">
        <v>4</v>
      </c>
      <c r="F37" s="1" t="s">
        <v>38</v>
      </c>
      <c r="G37" s="2" t="s">
        <v>38</v>
      </c>
      <c r="H37" s="2">
        <v>4</v>
      </c>
    </row>
    <row r="38" spans="1:8" x14ac:dyDescent="0.2">
      <c r="A38" s="1" t="s">
        <v>65</v>
      </c>
      <c r="B38" s="1" t="s">
        <v>66</v>
      </c>
      <c r="C38" s="1" t="s">
        <v>67</v>
      </c>
      <c r="D38" s="1" t="s">
        <v>68</v>
      </c>
      <c r="E38" s="1">
        <v>16</v>
      </c>
      <c r="F38" s="1" t="s">
        <v>69</v>
      </c>
      <c r="G38" s="1"/>
      <c r="H38" s="3" t="s">
        <v>72</v>
      </c>
    </row>
  </sheetData>
  <sortState xmlns:xlrd2="http://schemas.microsoft.com/office/spreadsheetml/2017/richdata2" ref="A2:H38">
    <sortCondition ref="B2:B38"/>
  </sortState>
  <pageMargins left="0.7" right="0.7" top="0.75" bottom="0.75" header="0.3" footer="0.3"/>
  <pageSetup paperSize="9" orientation="landscape" horizontalDpi="4294967294" verticalDpi="429496729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</vt:i4>
      </vt:variant>
    </vt:vector>
  </HeadingPairs>
  <TitlesOfParts>
    <vt:vector size="3" baseType="lpstr">
      <vt:lpstr>ספירות מלאי של דורמקו 2025</vt:lpstr>
      <vt:lpstr>גיליון1</vt:lpstr>
      <vt:lpstr>מחסן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 Aviv</dc:creator>
  <cp:lastModifiedBy>itay segal</cp:lastModifiedBy>
  <cp:lastPrinted>2025-12-28T06:55:37Z</cp:lastPrinted>
  <dcterms:created xsi:type="dcterms:W3CDTF">2025-12-28T06:52:32Z</dcterms:created>
  <dcterms:modified xsi:type="dcterms:W3CDTF">2026-10-31T15:44:56Z</dcterms:modified>
</cp:coreProperties>
</file>